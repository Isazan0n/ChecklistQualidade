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fael Fernandes\Downloads\ChecklistQualidade\"/>
    </mc:Choice>
  </mc:AlternateContent>
  <xr:revisionPtr revIDLastSave="0" documentId="13_ncr:1_{E982201A-B355-4FB2-A83B-7775601029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" l="1"/>
</calcChain>
</file>

<file path=xl/sharedStrings.xml><?xml version="1.0" encoding="utf-8"?>
<sst xmlns="http://schemas.openxmlformats.org/spreadsheetml/2006/main" count="155" uniqueCount="80">
  <si>
    <t>N°</t>
  </si>
  <si>
    <t>Descrição</t>
  </si>
  <si>
    <t>Resultado</t>
  </si>
  <si>
    <t>Responsável</t>
  </si>
  <si>
    <t>Observações</t>
  </si>
  <si>
    <t>Classificação da NCF</t>
  </si>
  <si>
    <t>Ação Corretiva Indicada</t>
  </si>
  <si>
    <t>Situação da NC</t>
  </si>
  <si>
    <t>Foram descritos problemas pré-existentes que o software deverá solucionar?</t>
  </si>
  <si>
    <t xml:space="preserve">Nos problemas encontrados, foram descritos problemas relacionados a todas as personas definidas?  </t>
  </si>
  <si>
    <t>Foram definidas as expectativas que o software deverá atender?</t>
  </si>
  <si>
    <t>Todas as expectativas estão diretamente relacionadas com pelo menos um dos problemas descritos?</t>
  </si>
  <si>
    <t>Foram definidos diferentes perfis de personas que interagirão com esse software?</t>
  </si>
  <si>
    <t>Quanto as personas desse software, foram definidas as ações que elas poderão realizar?</t>
  </si>
  <si>
    <t>Todas as ações que as personas poderão realizar, estão descritas com seus verbos no infinitivo?</t>
  </si>
  <si>
    <t>Para todas as ações das personas, foram definidos os objetivos que o usuário deve alcançar por meio dessas ações?</t>
  </si>
  <si>
    <t>Todas as features possuem relação direta com alguma ação que a persona poderá realizar?</t>
  </si>
  <si>
    <t>As features selecionadas possuem a descrição do estado do sistema antes da implementação da feature?</t>
  </si>
  <si>
    <t>As features selecionadas possuem a descrição do estado desejado do sistema após a implementação da feature?</t>
  </si>
  <si>
    <t>Foram definidos os PBIs para cada feature selecionada?</t>
  </si>
  <si>
    <t>Os PBIs estão descritos com seus verbos no infinitivo?</t>
  </si>
  <si>
    <t>Os PBIs estão estruturados de acordo com o fluxo cronológico da experiência do usuário no restaurante?</t>
  </si>
  <si>
    <t>Existe algum PBI crítico alocado tardiamente que possa inviabilizar a realização dos PBIs anteriores?</t>
  </si>
  <si>
    <t>O documento apresenta formalmente o título do projeto?</t>
  </si>
  <si>
    <t>O artefato cumpre os critérios estruturais exigidos pelo modelo PBB? (Problemas, Expectativas, Personas, Funcionalidades e PBIs)</t>
  </si>
  <si>
    <t>Cada PBI mapeado resolve claramente uma das expectativas ou dores listadas?</t>
  </si>
  <si>
    <t>Faixas de Aderência</t>
  </si>
  <si>
    <t>0-60%</t>
  </si>
  <si>
    <t>Não aderente</t>
  </si>
  <si>
    <t>61-90%</t>
  </si>
  <si>
    <t>Parcialmente aderente</t>
  </si>
  <si>
    <t>91-100%</t>
  </si>
  <si>
    <t>Aderente</t>
  </si>
  <si>
    <t>Auditor de QA:</t>
  </si>
  <si>
    <t>Data:</t>
  </si>
  <si>
    <t>Tempo total:</t>
  </si>
  <si>
    <t>Aderência Por Área</t>
  </si>
  <si>
    <t>Aderência</t>
  </si>
  <si>
    <t>Total de Perguntas</t>
  </si>
  <si>
    <t>Sim</t>
  </si>
  <si>
    <t>Não Aplicavél</t>
  </si>
  <si>
    <t>Rafael</t>
  </si>
  <si>
    <t>Valores Inválidos</t>
  </si>
  <si>
    <t>Conforme</t>
  </si>
  <si>
    <t>Matheus</t>
  </si>
  <si>
    <t>N/A</t>
  </si>
  <si>
    <t>Sim. O projeto possui um nome que foi descrito no campo determinado para essa finalidade.</t>
  </si>
  <si>
    <t>Sim. Foram apresentados os problemas pé-existentes que o software busca solicionar.</t>
  </si>
  <si>
    <t>Sim. Foram apresentadas as expextativas para esse sfotware em questão.</t>
  </si>
  <si>
    <t>Não Conforme</t>
  </si>
  <si>
    <t>Classificação de NCs</t>
  </si>
  <si>
    <t>Baixa</t>
  </si>
  <si>
    <t>Média</t>
  </si>
  <si>
    <t>Alta</t>
  </si>
  <si>
    <t>5 dias</t>
  </si>
  <si>
    <t>3 dias</t>
  </si>
  <si>
    <t>1 dia</t>
  </si>
  <si>
    <t>Adicionar no campo "Problems" problemas relacionados diretamente com todas as expectativas definidas para o software. Expectativas que estão faltando um problema diretamente relacionado são: Profissioal com mais visibilidade e maior concentração de serviços especializados.</t>
  </si>
  <si>
    <t>Em andamento</t>
  </si>
  <si>
    <t>Não conforme</t>
  </si>
  <si>
    <t>Gabriel</t>
  </si>
  <si>
    <t>Adicionar "caixas" de dificuldades do usuário no campo de "Personas" que estejam diretamente relacionados a persona de profissional da saúde. Não faz mal repetir problemas caixas de problemas em personas diferentes, afinal um problema de uma persona também pode ser o problema da outra persona.</t>
  </si>
  <si>
    <t>Sim. Ao todo foram definidos 3 perfis diferentes de personas para esse software.</t>
  </si>
  <si>
    <t>Não. No campo definido para apresentar os problemas do software, ficaram faltando alguns problemas relacionados as expectativas, como um relacionado diretamente com a expectativa de "Profissional com mais visibilidade". Apesar de ser apresentado algo relacionado no campo  "Features" na feature do profissional de saúde, algumas expectativas não possuem nada relacionado diretamente a elas no campo "Problems". Também há mais uma expectativa com nada no campo "Problems" relacionado diretamente a ela, a expectiva de "maior concentração de serviços especializados".</t>
  </si>
  <si>
    <t>Não. Não foi encontrado nenhum problema no campo "Problems" relacionado diretamente a persona "Prof. Da Saúde". Apesar de terem sido encontrados problemas que podem sim afetar também o profissional de saúde como a complexidade do app, já que um app complexo não afeta apenas o usuário idoso. Temos também a falta de informação do paciente, onde se um médico não possui as informações básicas de seu paciente o atendimento se torna inviável. Apesar desse problemas fizerem sentido com o perfil de profissional de saúde, nenhum desses ponto está descrito como uma dificuldade direta da persona "Prof. da saúde" no campo de personas.</t>
  </si>
  <si>
    <t>Sim. No campo persona foram definidas as ações que cada persona deverá realizar, como avaliar atendimento na persona  "Idoso".</t>
  </si>
  <si>
    <t>Sim. Ao lado esquedo das personas no campo "Personas" todas as ações estão com seus verbos no infinitivo.</t>
  </si>
  <si>
    <t>Sim. Ao lado direito das personas no campo "Personas", todas as ações possuem um objetivo correspondente.</t>
  </si>
  <si>
    <t>Todas as personas do projeto representam perfis de diferentes usuários?</t>
  </si>
  <si>
    <t>Sim. Todas as personas representam perfis de diferentes usuários.</t>
  </si>
  <si>
    <t>Foi definida pelo menos uma feature para cada persona?</t>
  </si>
  <si>
    <t>Sim. Foi definida exatamente uma feature para cada persona do software.</t>
  </si>
  <si>
    <t>Sim. Cada feature é exatamente uma das ações que a persona poderá realizar.</t>
  </si>
  <si>
    <t>Sim. Cada feature possui ao seu lado esquerdo a dificuldade/estado do sistema antes da implementação da feature.</t>
  </si>
  <si>
    <t>Sim. Cada feature possui ao seu lado direito o estado/objetivo que é desejado que o sistema alcance.</t>
  </si>
  <si>
    <t>Sim. Cada feature possui uma lista de PBIs localizados no campo "PBIs" que correspondem a feature.</t>
  </si>
  <si>
    <t>Sim. Todos os PBIs estão com seus verbos no infinitivo.</t>
  </si>
  <si>
    <t>01 hora e 30 minutos.</t>
  </si>
  <si>
    <t>Os PBIs não estão ordenados de acordo com a jornada cronológica do sistema. Isso faz com que algumas etapas fiquem sem sentido, por exemplo, a funcionalidade "Realizar login na conta" aparece somente depois de "Realizar a busca de profissionais"</t>
  </si>
  <si>
    <t xml:space="preserve">Reordenar os PBIs de acordo com a jornada cronológica do usuário e segundo as depêndencias de cada PBI, garantindo que etapas essenciais como "Realizar cadastro da Conta" e "Realizar login na conta" precedam funcionalidades outras funcionalidades.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</si>
</sst>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2"/>
      <color rgb="FFFFFFFF"/>
      <name val="Arial"/>
      <family val="2"/>
    </font>
    <font>
      <sz val="10"/>
      <color rgb="FFFFFFFF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Aptos Narrow"/>
      <family val="2"/>
    </font>
    <font>
      <b/>
      <sz val="11"/>
      <color theme="0"/>
      <name val="Aptos Narrow"/>
      <family val="2"/>
    </font>
    <font>
      <b/>
      <sz val="10"/>
      <color theme="0"/>
      <name val="Arial"/>
      <family val="2"/>
      <scheme val="minor"/>
    </font>
    <font>
      <b/>
      <sz val="14"/>
      <color rgb="FF000000"/>
      <name val="Arial"/>
      <family val="2"/>
      <scheme val="minor"/>
    </font>
    <font>
      <b/>
      <sz val="14"/>
      <color theme="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A6124E"/>
        <bgColor rgb="FF000000"/>
      </patternFill>
    </fill>
    <fill>
      <patternFill patternType="solid">
        <fgColor rgb="FFA6124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/>
    <xf numFmtId="0" fontId="4" fillId="0" borderId="4" xfId="0" applyFont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2" borderId="3" xfId="0" applyFont="1" applyFill="1" applyBorder="1"/>
    <xf numFmtId="0" fontId="4" fillId="0" borderId="5" xfId="0" applyFont="1" applyBorder="1" applyAlignment="1">
      <alignment horizontal="left"/>
    </xf>
    <xf numFmtId="14" fontId="4" fillId="0" borderId="5" xfId="0" applyNumberFormat="1" applyFont="1" applyBorder="1" applyAlignment="1">
      <alignment horizontal="left"/>
    </xf>
    <xf numFmtId="0" fontId="4" fillId="4" borderId="4" xfId="0" applyFont="1" applyFill="1" applyBorder="1" applyAlignment="1">
      <alignment vertical="center"/>
    </xf>
    <xf numFmtId="0" fontId="4" fillId="4" borderId="5" xfId="0" applyFont="1" applyFill="1" applyBorder="1" applyAlignment="1">
      <alignment horizontal="left"/>
    </xf>
    <xf numFmtId="0" fontId="4" fillId="5" borderId="4" xfId="0" applyFont="1" applyFill="1" applyBorder="1" applyAlignment="1">
      <alignment vertical="center"/>
    </xf>
    <xf numFmtId="0" fontId="4" fillId="5" borderId="5" xfId="0" applyFont="1" applyFill="1" applyBorder="1" applyAlignment="1">
      <alignment horizontal="left"/>
    </xf>
    <xf numFmtId="0" fontId="4" fillId="6" borderId="4" xfId="0" applyFont="1" applyFill="1" applyBorder="1" applyAlignment="1">
      <alignment vertical="center"/>
    </xf>
    <xf numFmtId="0" fontId="4" fillId="6" borderId="5" xfId="0" applyFont="1" applyFill="1" applyBorder="1" applyAlignment="1">
      <alignment horizontal="left"/>
    </xf>
    <xf numFmtId="0" fontId="4" fillId="7" borderId="4" xfId="0" applyFont="1" applyFill="1" applyBorder="1" applyAlignment="1">
      <alignment vertical="center"/>
    </xf>
    <xf numFmtId="0" fontId="4" fillId="7" borderId="5" xfId="0" applyFont="1" applyFill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6" fillId="0" borderId="7" xfId="0" applyFont="1" applyBorder="1"/>
    <xf numFmtId="0" fontId="7" fillId="4" borderId="2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21" fontId="4" fillId="0" borderId="5" xfId="0" applyNumberFormat="1" applyFont="1" applyBorder="1" applyAlignment="1">
      <alignment horizontal="left"/>
    </xf>
    <xf numFmtId="0" fontId="7" fillId="4" borderId="9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5" borderId="9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</cellXfs>
  <cellStyles count="1">
    <cellStyle name="Normal" xfId="0" builtinId="0"/>
  </cellStyles>
  <dxfs count="15"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alignment horizontal="center" vertical="center" textRotation="0" wrapText="1" indent="0" justifyLastLine="0" shrinkToFit="0" readingOrder="0"/>
      <border outline="0">
        <left style="thin">
          <color rgb="FF000000"/>
        </left>
      </border>
    </dxf>
    <dxf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</border>
    </dxf>
    <dxf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</border>
    </dxf>
    <dxf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</border>
    </dxf>
    <dxf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</border>
    </dxf>
    <dxf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</border>
    </dxf>
    <dxf>
      <alignment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</border>
    </dxf>
    <dxf>
      <alignment vertical="center" textRotation="0" wrapText="0" indent="0" justifyLastLine="0" shrinkToFit="0" readingOrder="0"/>
      <border outline="0">
        <right style="thin">
          <color rgb="FF000000"/>
        </right>
      </border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C1130"/>
          <bgColor rgb="FF4C1130"/>
        </patternFill>
      </fill>
    </dxf>
  </dxfs>
  <tableStyles count="1" defaultTableStyle="TableStyleMedium2" defaultPivotStyle="PivotStyleLight16">
    <tableStyle name="Página1-style" pivot="0" count="3" xr9:uid="{00000000-0011-0000-FFFF-FFFF00000000}">
      <tableStyleElement type="headerRow" dxfId="14"/>
      <tableStyleElement type="firstRowStripe" dxfId="13"/>
      <tableStyleElement type="secondRowStripe" dxfId="12"/>
    </tableStyle>
  </tableStyles>
  <colors>
    <mruColors>
      <color rgb="FFA612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I22">
  <tableColumns count="8">
    <tableColumn id="1" xr3:uid="{00000000-0010-0000-0000-000001000000}" name="N°" dataDxfId="11"/>
    <tableColumn id="2" xr3:uid="{00000000-0010-0000-0000-000002000000}" name="Descrição" dataDxfId="10"/>
    <tableColumn id="3" xr3:uid="{00000000-0010-0000-0000-000003000000}" name="Resultado" dataDxfId="9"/>
    <tableColumn id="4" xr3:uid="{00000000-0010-0000-0000-000004000000}" name="Responsável" dataDxfId="8"/>
    <tableColumn id="5" xr3:uid="{00000000-0010-0000-0000-000005000000}" name="Observações" dataDxfId="7"/>
    <tableColumn id="6" xr3:uid="{00000000-0010-0000-0000-000006000000}" name="Classificação da NCF" dataDxfId="6"/>
    <tableColumn id="7" xr3:uid="{00000000-0010-0000-0000-000007000000}" name="Ação Corretiva Indicada" dataDxfId="5"/>
    <tableColumn id="8" xr3:uid="{00000000-0010-0000-0000-000008000000}" name="Situação da NC" dataDxfId="4"/>
  </tableColumns>
  <tableStyleInfo name="Página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AA32"/>
  <sheetViews>
    <sheetView tabSelected="1" topLeftCell="A18" zoomScale="70" zoomScaleNormal="70" workbookViewId="0">
      <selection activeCell="H19" sqref="H19"/>
    </sheetView>
  </sheetViews>
  <sheetFormatPr defaultColWidth="12.6640625" defaultRowHeight="15.75" customHeight="1" x14ac:dyDescent="0.25"/>
  <cols>
    <col min="2" max="2" width="17.77734375" bestFit="1" customWidth="1"/>
    <col min="3" max="3" width="110.109375" bestFit="1" customWidth="1"/>
    <col min="4" max="4" width="11.5546875" bestFit="1" customWidth="1"/>
    <col min="5" max="5" width="14.5546875" bestFit="1" customWidth="1"/>
    <col min="6" max="6" width="16.21875" bestFit="1" customWidth="1"/>
    <col min="7" max="7" width="23.5546875" bestFit="1" customWidth="1"/>
    <col min="8" max="8" width="26.44140625" bestFit="1" customWidth="1"/>
    <col min="9" max="9" width="22.77734375" bestFit="1" customWidth="1"/>
  </cols>
  <sheetData>
    <row r="2" spans="2:27" ht="15.6" x14ac:dyDescent="0.25">
      <c r="B2" s="1" t="s">
        <v>0</v>
      </c>
      <c r="C2" s="1" t="s">
        <v>1</v>
      </c>
      <c r="D2" s="16" t="s">
        <v>2</v>
      </c>
      <c r="E2" s="16" t="s">
        <v>3</v>
      </c>
      <c r="F2" s="16" t="s">
        <v>4</v>
      </c>
      <c r="G2" s="16" t="s">
        <v>5</v>
      </c>
      <c r="H2" s="16" t="s">
        <v>6</v>
      </c>
      <c r="I2" s="16" t="s">
        <v>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2:27" ht="79.2" x14ac:dyDescent="0.25">
      <c r="B3" s="17">
        <v>1</v>
      </c>
      <c r="C3" s="18" t="s">
        <v>23</v>
      </c>
      <c r="D3" s="19" t="s">
        <v>43</v>
      </c>
      <c r="E3" s="19" t="s">
        <v>45</v>
      </c>
      <c r="F3" s="19" t="s">
        <v>46</v>
      </c>
      <c r="G3" s="19" t="s">
        <v>45</v>
      </c>
      <c r="H3" s="19" t="s">
        <v>45</v>
      </c>
      <c r="I3" s="19" t="s">
        <v>45</v>
      </c>
    </row>
    <row r="4" spans="2:27" ht="79.2" x14ac:dyDescent="0.25">
      <c r="B4" s="17">
        <v>2</v>
      </c>
      <c r="C4" s="18" t="s">
        <v>8</v>
      </c>
      <c r="D4" s="19" t="s">
        <v>43</v>
      </c>
      <c r="E4" s="19" t="s">
        <v>45</v>
      </c>
      <c r="F4" s="19" t="s">
        <v>47</v>
      </c>
      <c r="G4" s="19" t="s">
        <v>45</v>
      </c>
      <c r="H4" s="19" t="s">
        <v>45</v>
      </c>
      <c r="I4" s="19" t="s">
        <v>45</v>
      </c>
    </row>
    <row r="5" spans="2:27" ht="409.6" x14ac:dyDescent="0.25">
      <c r="B5" s="17">
        <v>3</v>
      </c>
      <c r="C5" s="18" t="s">
        <v>9</v>
      </c>
      <c r="D5" s="19" t="s">
        <v>59</v>
      </c>
      <c r="E5" s="19" t="s">
        <v>60</v>
      </c>
      <c r="F5" s="19" t="s">
        <v>64</v>
      </c>
      <c r="G5" s="19" t="s">
        <v>51</v>
      </c>
      <c r="H5" s="19" t="s">
        <v>61</v>
      </c>
      <c r="I5" s="19" t="s">
        <v>58</v>
      </c>
    </row>
    <row r="6" spans="2:27" ht="66" x14ac:dyDescent="0.25">
      <c r="B6" s="17">
        <v>4</v>
      </c>
      <c r="C6" s="18" t="s">
        <v>10</v>
      </c>
      <c r="D6" s="19" t="s">
        <v>43</v>
      </c>
      <c r="E6" s="19" t="s">
        <v>45</v>
      </c>
      <c r="F6" s="19" t="s">
        <v>48</v>
      </c>
      <c r="G6" s="19" t="s">
        <v>45</v>
      </c>
      <c r="H6" s="19" t="s">
        <v>45</v>
      </c>
      <c r="I6" s="19" t="s">
        <v>45</v>
      </c>
    </row>
    <row r="7" spans="2:27" ht="409.6" x14ac:dyDescent="0.25">
      <c r="B7" s="17">
        <v>5</v>
      </c>
      <c r="C7" s="18" t="s">
        <v>11</v>
      </c>
      <c r="D7" s="19" t="s">
        <v>49</v>
      </c>
      <c r="E7" s="19" t="s">
        <v>44</v>
      </c>
      <c r="F7" s="19" t="s">
        <v>63</v>
      </c>
      <c r="G7" s="19" t="s">
        <v>51</v>
      </c>
      <c r="H7" s="19" t="s">
        <v>57</v>
      </c>
      <c r="I7" s="19" t="s">
        <v>58</v>
      </c>
    </row>
    <row r="8" spans="2:27" ht="66" x14ac:dyDescent="0.25">
      <c r="B8" s="17">
        <v>6</v>
      </c>
      <c r="C8" s="18" t="s">
        <v>12</v>
      </c>
      <c r="D8" s="19" t="s">
        <v>43</v>
      </c>
      <c r="E8" s="19" t="s">
        <v>45</v>
      </c>
      <c r="F8" s="19" t="s">
        <v>62</v>
      </c>
      <c r="G8" s="19" t="s">
        <v>45</v>
      </c>
      <c r="H8" s="19" t="s">
        <v>45</v>
      </c>
      <c r="I8" s="19" t="s">
        <v>45</v>
      </c>
    </row>
    <row r="9" spans="2:27" ht="118.8" x14ac:dyDescent="0.25">
      <c r="B9" s="17">
        <v>7</v>
      </c>
      <c r="C9" s="18" t="s">
        <v>13</v>
      </c>
      <c r="D9" s="19" t="s">
        <v>43</v>
      </c>
      <c r="E9" s="19" t="s">
        <v>45</v>
      </c>
      <c r="F9" s="19" t="s">
        <v>65</v>
      </c>
      <c r="G9" s="19" t="s">
        <v>45</v>
      </c>
      <c r="H9" s="19" t="s">
        <v>45</v>
      </c>
      <c r="I9" s="19" t="s">
        <v>45</v>
      </c>
    </row>
    <row r="10" spans="2:27" ht="105.6" x14ac:dyDescent="0.25">
      <c r="B10" s="17">
        <v>8</v>
      </c>
      <c r="C10" s="18" t="s">
        <v>14</v>
      </c>
      <c r="D10" s="19" t="s">
        <v>43</v>
      </c>
      <c r="E10" s="19" t="s">
        <v>45</v>
      </c>
      <c r="F10" s="19" t="s">
        <v>66</v>
      </c>
      <c r="G10" s="19" t="s">
        <v>45</v>
      </c>
      <c r="H10" s="19" t="s">
        <v>45</v>
      </c>
      <c r="I10" s="19" t="s">
        <v>45</v>
      </c>
    </row>
    <row r="11" spans="2:27" ht="118.8" x14ac:dyDescent="0.25">
      <c r="B11" s="17">
        <v>9</v>
      </c>
      <c r="C11" s="18" t="s">
        <v>15</v>
      </c>
      <c r="D11" s="19" t="s">
        <v>43</v>
      </c>
      <c r="E11" s="19" t="s">
        <v>45</v>
      </c>
      <c r="F11" s="19" t="s">
        <v>67</v>
      </c>
      <c r="G11" s="19" t="s">
        <v>45</v>
      </c>
      <c r="H11" s="19" t="s">
        <v>45</v>
      </c>
      <c r="I11" s="19" t="s">
        <v>45</v>
      </c>
    </row>
    <row r="12" spans="2:27" ht="79.2" x14ac:dyDescent="0.25">
      <c r="B12" s="17">
        <v>10</v>
      </c>
      <c r="C12" s="18" t="s">
        <v>68</v>
      </c>
      <c r="D12" s="19" t="s">
        <v>43</v>
      </c>
      <c r="E12" s="19" t="s">
        <v>45</v>
      </c>
      <c r="F12" s="19" t="s">
        <v>69</v>
      </c>
      <c r="G12" s="19" t="s">
        <v>45</v>
      </c>
      <c r="H12" s="19" t="s">
        <v>45</v>
      </c>
      <c r="I12" s="19" t="s">
        <v>45</v>
      </c>
    </row>
    <row r="13" spans="2:27" ht="66" x14ac:dyDescent="0.25">
      <c r="B13" s="17">
        <v>11</v>
      </c>
      <c r="C13" s="18" t="s">
        <v>70</v>
      </c>
      <c r="D13" s="19" t="s">
        <v>43</v>
      </c>
      <c r="E13" s="19" t="s">
        <v>45</v>
      </c>
      <c r="F13" s="19" t="s">
        <v>71</v>
      </c>
      <c r="G13" s="19" t="s">
        <v>45</v>
      </c>
      <c r="H13" s="19" t="s">
        <v>45</v>
      </c>
      <c r="I13" s="19" t="s">
        <v>45</v>
      </c>
    </row>
    <row r="14" spans="2:27" ht="66" x14ac:dyDescent="0.25">
      <c r="B14" s="17">
        <v>12</v>
      </c>
      <c r="C14" s="18" t="s">
        <v>16</v>
      </c>
      <c r="D14" s="19" t="s">
        <v>43</v>
      </c>
      <c r="E14" s="19" t="s">
        <v>45</v>
      </c>
      <c r="F14" s="19" t="s">
        <v>72</v>
      </c>
      <c r="G14" s="19" t="s">
        <v>45</v>
      </c>
      <c r="H14" s="19" t="s">
        <v>45</v>
      </c>
      <c r="I14" s="19" t="s">
        <v>45</v>
      </c>
    </row>
    <row r="15" spans="2:27" ht="92.4" x14ac:dyDescent="0.25">
      <c r="B15" s="17">
        <v>13</v>
      </c>
      <c r="C15" s="18" t="s">
        <v>17</v>
      </c>
      <c r="D15" s="19" t="s">
        <v>43</v>
      </c>
      <c r="E15" s="19" t="s">
        <v>45</v>
      </c>
      <c r="F15" s="19" t="s">
        <v>73</v>
      </c>
      <c r="G15" s="19" t="s">
        <v>45</v>
      </c>
      <c r="H15" s="19" t="s">
        <v>45</v>
      </c>
      <c r="I15" s="19" t="s">
        <v>45</v>
      </c>
    </row>
    <row r="16" spans="2:27" ht="92.4" x14ac:dyDescent="0.25">
      <c r="B16" s="17">
        <v>14</v>
      </c>
      <c r="C16" s="18" t="s">
        <v>18</v>
      </c>
      <c r="D16" s="19" t="s">
        <v>43</v>
      </c>
      <c r="E16" s="19" t="s">
        <v>45</v>
      </c>
      <c r="F16" s="19" t="s">
        <v>74</v>
      </c>
      <c r="G16" s="19" t="s">
        <v>45</v>
      </c>
      <c r="H16" s="19" t="s">
        <v>45</v>
      </c>
      <c r="I16" s="19" t="s">
        <v>45</v>
      </c>
    </row>
    <row r="17" spans="2:9" ht="92.4" x14ac:dyDescent="0.25">
      <c r="B17" s="17">
        <v>15</v>
      </c>
      <c r="C17" s="18" t="s">
        <v>19</v>
      </c>
      <c r="D17" s="19" t="s">
        <v>43</v>
      </c>
      <c r="E17" s="19" t="s">
        <v>45</v>
      </c>
      <c r="F17" s="19" t="s">
        <v>75</v>
      </c>
      <c r="G17" s="19" t="s">
        <v>45</v>
      </c>
      <c r="H17" s="19" t="s">
        <v>45</v>
      </c>
      <c r="I17" s="19" t="s">
        <v>45</v>
      </c>
    </row>
    <row r="18" spans="2:9" ht="52.8" x14ac:dyDescent="0.25">
      <c r="B18" s="17">
        <v>16</v>
      </c>
      <c r="C18" s="18" t="s">
        <v>20</v>
      </c>
      <c r="D18" s="19" t="s">
        <v>43</v>
      </c>
      <c r="E18" s="19" t="s">
        <v>45</v>
      </c>
      <c r="F18" s="19" t="s">
        <v>76</v>
      </c>
      <c r="G18" s="19" t="s">
        <v>45</v>
      </c>
      <c r="H18" s="19" t="s">
        <v>45</v>
      </c>
      <c r="I18" s="19" t="s">
        <v>45</v>
      </c>
    </row>
    <row r="19" spans="2:9" ht="224.4" x14ac:dyDescent="0.25">
      <c r="B19" s="17">
        <v>17</v>
      </c>
      <c r="C19" s="18" t="s">
        <v>21</v>
      </c>
      <c r="D19" s="19" t="s">
        <v>49</v>
      </c>
      <c r="E19" s="19" t="s">
        <v>44</v>
      </c>
      <c r="F19" s="19" t="s">
        <v>78</v>
      </c>
      <c r="G19" s="19" t="s">
        <v>52</v>
      </c>
      <c r="H19" s="19" t="s">
        <v>79</v>
      </c>
      <c r="I19" s="19" t="s">
        <v>45</v>
      </c>
    </row>
    <row r="20" spans="2:9" ht="13.2" x14ac:dyDescent="0.25">
      <c r="B20" s="17">
        <v>18</v>
      </c>
      <c r="C20" s="18" t="s">
        <v>22</v>
      </c>
      <c r="D20" s="19"/>
      <c r="E20" s="19"/>
      <c r="F20" s="19"/>
      <c r="G20" s="19"/>
      <c r="H20" s="19"/>
      <c r="I20" s="19"/>
    </row>
    <row r="21" spans="2:9" ht="13.2" x14ac:dyDescent="0.25">
      <c r="B21" s="17">
        <v>19</v>
      </c>
      <c r="C21" s="18" t="s">
        <v>24</v>
      </c>
      <c r="D21" s="19"/>
      <c r="E21" s="19"/>
      <c r="F21" s="19"/>
      <c r="G21" s="19"/>
      <c r="H21" s="19"/>
      <c r="I21" s="19"/>
    </row>
    <row r="22" spans="2:9" ht="13.2" x14ac:dyDescent="0.25">
      <c r="B22" s="17">
        <v>20</v>
      </c>
      <c r="C22" s="18" t="s">
        <v>25</v>
      </c>
      <c r="D22" s="19"/>
      <c r="E22" s="19"/>
      <c r="F22" s="19"/>
      <c r="G22" s="19"/>
      <c r="H22" s="19"/>
      <c r="I22" s="19"/>
    </row>
    <row r="24" spans="2:9" ht="15.75" customHeight="1" x14ac:dyDescent="0.3">
      <c r="B24" s="4" t="s">
        <v>26</v>
      </c>
      <c r="C24" s="5"/>
      <c r="F24" s="36" t="s">
        <v>36</v>
      </c>
      <c r="G24" s="36"/>
      <c r="H24" s="36"/>
      <c r="I24" s="36"/>
    </row>
    <row r="25" spans="2:9" ht="14.4" x14ac:dyDescent="0.3">
      <c r="B25" s="12" t="s">
        <v>27</v>
      </c>
      <c r="C25" s="13" t="s">
        <v>28</v>
      </c>
      <c r="F25" s="37" t="s">
        <v>38</v>
      </c>
      <c r="G25" s="38" t="s">
        <v>39</v>
      </c>
      <c r="H25" s="37" t="s">
        <v>40</v>
      </c>
      <c r="I25" s="38" t="s">
        <v>37</v>
      </c>
    </row>
    <row r="26" spans="2:9" ht="15.75" customHeight="1" x14ac:dyDescent="0.3">
      <c r="B26" s="10" t="s">
        <v>29</v>
      </c>
      <c r="C26" s="11" t="s">
        <v>30</v>
      </c>
      <c r="F26" s="37"/>
      <c r="G26" s="38"/>
      <c r="H26" s="37"/>
      <c r="I26" s="38"/>
    </row>
    <row r="27" spans="2:9" ht="15.75" customHeight="1" x14ac:dyDescent="0.3">
      <c r="B27" s="8" t="s">
        <v>31</v>
      </c>
      <c r="C27" s="9" t="s">
        <v>32</v>
      </c>
      <c r="F27" s="24">
        <v>0</v>
      </c>
      <c r="G27" s="24">
        <v>0</v>
      </c>
      <c r="H27" s="24">
        <v>0</v>
      </c>
      <c r="I27" s="25" t="str">
        <f>IF(F27-H27 &lt;= 0, "Valores Inválidos", G27/(F27-H27))</f>
        <v>Valores Inválidos</v>
      </c>
    </row>
    <row r="28" spans="2:9" ht="15.75" customHeight="1" x14ac:dyDescent="0.3">
      <c r="B28" s="14" t="s">
        <v>42</v>
      </c>
      <c r="C28" s="15"/>
    </row>
    <row r="29" spans="2:9" ht="15.75" customHeight="1" x14ac:dyDescent="0.3">
      <c r="B29" s="3" t="s">
        <v>33</v>
      </c>
      <c r="C29" s="6" t="s">
        <v>41</v>
      </c>
      <c r="F29" s="33" t="s">
        <v>50</v>
      </c>
      <c r="G29" s="34"/>
      <c r="H29" s="35"/>
      <c r="I29" s="20"/>
    </row>
    <row r="30" spans="2:9" ht="15.75" customHeight="1" x14ac:dyDescent="0.3">
      <c r="B30" s="3" t="s">
        <v>34</v>
      </c>
      <c r="C30" s="7">
        <v>46270</v>
      </c>
      <c r="F30" s="27" t="s">
        <v>51</v>
      </c>
      <c r="G30" s="29" t="s">
        <v>52</v>
      </c>
      <c r="H30" s="31" t="s">
        <v>53</v>
      </c>
      <c r="I30" s="20"/>
    </row>
    <row r="31" spans="2:9" ht="15.75" customHeight="1" x14ac:dyDescent="0.3">
      <c r="B31" s="3" t="s">
        <v>35</v>
      </c>
      <c r="C31" s="26" t="s">
        <v>77</v>
      </c>
      <c r="F31" s="28"/>
      <c r="G31" s="30"/>
      <c r="H31" s="32"/>
      <c r="I31" s="20"/>
    </row>
    <row r="32" spans="2:9" ht="15.75" customHeight="1" x14ac:dyDescent="0.3">
      <c r="F32" s="21" t="s">
        <v>54</v>
      </c>
      <c r="G32" s="22" t="s">
        <v>55</v>
      </c>
      <c r="H32" s="23" t="s">
        <v>56</v>
      </c>
      <c r="I32" s="20"/>
    </row>
  </sheetData>
  <mergeCells count="9">
    <mergeCell ref="F30:F31"/>
    <mergeCell ref="G30:G31"/>
    <mergeCell ref="H30:H31"/>
    <mergeCell ref="F29:H29"/>
    <mergeCell ref="F24:I24"/>
    <mergeCell ref="F25:F26"/>
    <mergeCell ref="G25:G26"/>
    <mergeCell ref="H25:H26"/>
    <mergeCell ref="I25:I26"/>
  </mergeCells>
  <conditionalFormatting sqref="I27">
    <cfRule type="expression" dxfId="3" priority="5">
      <formula>$I$27 = "Valores Inválidos"</formula>
    </cfRule>
    <cfRule type="expression" dxfId="2" priority="6">
      <formula>$I$27&lt;=0.6</formula>
    </cfRule>
    <cfRule type="expression" dxfId="1" priority="7">
      <formula>AND($I$27 &gt; 0.6, $I$27&lt;=0.9)</formula>
    </cfRule>
    <cfRule type="expression" dxfId="0" priority="8">
      <formula>$I$27 &gt;0.9</formula>
    </cfRule>
  </conditionalFormatting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CF20922A0DE34DA3357EDA40AE3850" ma:contentTypeVersion="5" ma:contentTypeDescription="Create a new document." ma:contentTypeScope="" ma:versionID="df2c289d3a08b18055ba2ef47a57998b">
  <xsd:schema xmlns:xsd="http://www.w3.org/2001/XMLSchema" xmlns:xs="http://www.w3.org/2001/XMLSchema" xmlns:p="http://schemas.microsoft.com/office/2006/metadata/properties" xmlns:ns3="aed73f09-bf5d-4147-a3d9-eca4840d3416" targetNamespace="http://schemas.microsoft.com/office/2006/metadata/properties" ma:root="true" ma:fieldsID="91dac5f1c2bd6141b57005fd2a16424c" ns3:_="">
    <xsd:import namespace="aed73f09-bf5d-4147-a3d9-eca4840d341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d73f09-bf5d-4147-a3d9-eca4840d341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ed73f09-bf5d-4147-a3d9-eca4840d341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81EED5F-8754-4D16-831A-C7CA03D1BF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d73f09-bf5d-4147-a3d9-eca4840d34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1C52647-21D9-4C34-966B-5FCC3F373667}">
  <ds:schemaRefs>
    <ds:schemaRef ds:uri="aed73f09-bf5d-4147-a3d9-eca4840d3416"/>
    <ds:schemaRef ds:uri="http://schemas.microsoft.com/office/2006/documentManagement/types"/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EE3AD36-DAF9-4B5C-8B4B-D3EE6315837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fernandes</dc:creator>
  <cp:lastModifiedBy>RAFAEL ELIEZER DANTAS BOTELHO FERNANDES</cp:lastModifiedBy>
  <dcterms:created xsi:type="dcterms:W3CDTF">2026-09-03T01:58:53Z</dcterms:created>
  <dcterms:modified xsi:type="dcterms:W3CDTF">2026-09-06T12:47:36Z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0x0101007CCF20922A0DE34DA3357EDA40AE3850</vt:lpwstr>
  </property>
</Properties>
</file>